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cam\codec-opensource\config\"/>
    </mc:Choice>
  </mc:AlternateContent>
  <xr:revisionPtr revIDLastSave="0" documentId="13_ncr:1_{85A8BA53-B56B-472A-B407-412CB3154400}" xr6:coauthVersionLast="47" xr6:coauthVersionMax="47" xr10:uidLastSave="{00000000-0000-0000-0000-000000000000}"/>
  <bookViews>
    <workbookView xWindow="57480" yWindow="75" windowWidth="29040" windowHeight="15720" xr2:uid="{B4BEDC58-0418-40BE-BDF6-0FEFABA94EA8}"/>
  </bookViews>
  <sheets>
    <sheet name="Metrics" sheetId="1" r:id="rId1"/>
  </sheets>
  <definedNames>
    <definedName name="_xlnm._FilterDatabase" localSheetId="0" hidden="1">Metrics!$A$1:$K$85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<sst xmlns="http://schemas.openxmlformats.org/spreadsheetml/2006/main" count="472" uniqueCount="204">
  <si>
    <t>nn_lower</t>
  </si>
  <si>
    <t>nn_upper</t>
  </si>
  <si>
    <t>ideal_lower</t>
  </si>
  <si>
    <t>ideal_upper</t>
  </si>
  <si>
    <t>Percentage of reference genome masked by combined mask</t>
  </si>
  <si>
    <t>Inf</t>
  </si>
  <si>
    <t>ms_SNV_indel_ratio</t>
  </si>
  <si>
    <t>ms_insertion_deletion_ratio</t>
  </si>
  <si>
    <t>ms_MNP_other_variants</t>
  </si>
  <si>
    <t>ms_transition_transversion_ratio</t>
  </si>
  <si>
    <t>ms_het_hom_ratio</t>
  </si>
  <si>
    <t>ms_total_reads_r1</t>
  </si>
  <si>
    <t>ms_total_reads_r2</t>
  </si>
  <si>
    <t>ex_duplex_base_disagreement</t>
  </si>
  <si>
    <t>Rate at which Watson and Crick complementary bases disagree (total R1R2 disagreements divided by total duplex bases for each sample)</t>
  </si>
  <si>
    <t>Percent of flow cell tiles where mean quality score is &lt;Q36</t>
  </si>
  <si>
    <t>Percentage of reads which successfully aligned during DSC realignment</t>
  </si>
  <si>
    <t>Percentage of genome eligible for variant calling (duplex depth &gt; 0 &amp; unmasked)</t>
  </si>
  <si>
    <t>ex_variant_call_eligible</t>
  </si>
  <si>
    <t>ex_duplex_coverage</t>
  </si>
  <si>
    <t>Percentage of genome with duplex depth &gt; 0</t>
  </si>
  <si>
    <t>ex_dsc_softclipping</t>
  </si>
  <si>
    <t>Number of soft clipped bases for 90th percentile most softclipped reads</t>
  </si>
  <si>
    <t>Percentage of reads lost between start and end of ex pipeline</t>
  </si>
  <si>
    <t>ex_lane_total_read_loss</t>
  </si>
  <si>
    <t>gDNA fragment sizes expected from Qiagen kit for mamallian DNA</t>
  </si>
  <si>
    <t>Mean length of the largest peak</t>
  </si>
  <si>
    <t>Integrated area of the largest peak</t>
  </si>
  <si>
    <t>ex_fragmented_DNA_yield</t>
  </si>
  <si>
    <t>ex_tape_station_peak</t>
  </si>
  <si>
    <t>ex_tape_station_area</t>
  </si>
  <si>
    <t>ms_tape_station_peak</t>
  </si>
  <si>
    <t>ms_tape_station_area</t>
  </si>
  <si>
    <t>ms_germline_variant_rate</t>
  </si>
  <si>
    <t>Sample</t>
  </si>
  <si>
    <t>Batch</t>
  </si>
  <si>
    <t>ex_fragmented_DNA_yield_variability</t>
  </si>
  <si>
    <t>Description</t>
  </si>
  <si>
    <t>Stage</t>
  </si>
  <si>
    <t>Scope</t>
  </si>
  <si>
    <t>include_automated_report</t>
  </si>
  <si>
    <t>Name</t>
  </si>
  <si>
    <t>Quantity of DNA (ng) required to run assay &amp; QCs</t>
  </si>
  <si>
    <t>Variability in DNA extraction yield (normalised interquartile range). UL of 95% CI must meet target.</t>
  </si>
  <si>
    <t>ex_fragmented_DNA_size</t>
  </si>
  <si>
    <t>extracted_DNA_yield</t>
  </si>
  <si>
    <t>extracted_DNA_yield_variability</t>
  </si>
  <si>
    <t>extracted_DNA_size</t>
  </si>
  <si>
    <t>ex_amplified_DNA_yield_variability</t>
  </si>
  <si>
    <t>ex_amplified_DNA_size</t>
  </si>
  <si>
    <t>ex_amplified_NTC_size</t>
  </si>
  <si>
    <t>Quantity of DNA (ng) after enzymatic fragmentation</t>
  </si>
  <si>
    <t>Variability in DNA quantity post fragmentation (normalised interquartile range). UL of 95% CI must meet target.</t>
  </si>
  <si>
    <t>ex_amplified_DNA_conc</t>
  </si>
  <si>
    <t>Concentration (ng/ul) of PCR amplified library. Assumes 20ul elution volume.</t>
  </si>
  <si>
    <t>Size range (bp) of fragmented DNA. Assesed by gel electrophoresis.</t>
  </si>
  <si>
    <t>Size range (bp) of amplified DNA. Assesed by gel electrophoresis.</t>
  </si>
  <si>
    <t>Size range (bp) of no template control after PCR. Assesed by gel electrophoresis.</t>
  </si>
  <si>
    <t>ms_fragmented_DNA_yield_variability</t>
  </si>
  <si>
    <t>ms_fragmented_DNA_yield</t>
  </si>
  <si>
    <t>ms_ligated_DNA_yield</t>
  </si>
  <si>
    <t>ms_ligated_DNA_yield_variability</t>
  </si>
  <si>
    <t>Quantity of DNA (ng) after adaptor ligation</t>
  </si>
  <si>
    <t>Variability in DNA quantity post adaptor ligation (normalised interquartile range). UL of 95% CI must meet target.</t>
  </si>
  <si>
    <t>coverage_overlap_ex_ms</t>
  </si>
  <si>
    <t>DNA extraction</t>
  </si>
  <si>
    <t>EX library preparation</t>
  </si>
  <si>
    <t>MS library preparation</t>
  </si>
  <si>
    <t>MS Sequencing</t>
  </si>
  <si>
    <t>EX alignment</t>
  </si>
  <si>
    <t>EX sequencing</t>
  </si>
  <si>
    <t>MS sequencing</t>
  </si>
  <si>
    <t>EX preprocess FASTQ</t>
  </si>
  <si>
    <t>MS preprocess FASTQ</t>
  </si>
  <si>
    <t>MS alignment</t>
  </si>
  <si>
    <t>EX create DSC</t>
  </si>
  <si>
    <t>MS Call germline variants</t>
  </si>
  <si>
    <t>Mask regions</t>
  </si>
  <si>
    <t>EX Call somatic variants</t>
  </si>
  <si>
    <t>NA</t>
  </si>
  <si>
    <t>combined_mask_coverage</t>
  </si>
  <si>
    <t>Percentage of reads that are lost during mean quality filtering</t>
  </si>
  <si>
    <t>ex_reads_lost_demux</t>
  </si>
  <si>
    <t>ex_reads_filtered_length</t>
  </si>
  <si>
    <t>ex_reads_filtered_quality</t>
  </si>
  <si>
    <t>Lane</t>
  </si>
  <si>
    <t>ex_properly_paired_initial_alignment</t>
  </si>
  <si>
    <t>ex_mapped_initial_alignment</t>
  </si>
  <si>
    <t>ex_insert_size_initial_alignment</t>
  </si>
  <si>
    <t>Percentage of reads that are lost during demultiplexing</t>
  </si>
  <si>
    <t>Mean length of the largest peak on the tape station report prior to sequencing</t>
  </si>
  <si>
    <t>Integrated area of the largest peak on the tape station report prior to sequencing</t>
  </si>
  <si>
    <t>ms_filtered_overrepresented_sequences_r1</t>
  </si>
  <si>
    <t>ms_filtered_overrepresented_sequences_r2</t>
  </si>
  <si>
    <t>ms_filtered_gc_deviation_r1</t>
  </si>
  <si>
    <t>ms_filtered_gc_deviation_r2</t>
  </si>
  <si>
    <t>ms_filtered_per_base_content_diff_r1</t>
  </si>
  <si>
    <t>ms_filtered_per_base_content_diff_r2</t>
  </si>
  <si>
    <t>ms_filtered_per_base_N_content_r1</t>
  </si>
  <si>
    <t>ms_filtered_per_base_N_content_r2</t>
  </si>
  <si>
    <t>Percentage of flow cell tiles where mean quality score is &lt;Q36</t>
  </si>
  <si>
    <t>ms_reads_filtered_length</t>
  </si>
  <si>
    <t>Percentage of reads successfully mapped to reference genome, post initial alignment</t>
  </si>
  <si>
    <t>Percentage of reads properly paired, post initial alignment</t>
  </si>
  <si>
    <t>Median insert size (start of R1 to end of R2) as determined during alignment (bp)</t>
  </si>
  <si>
    <t>Percentage of genomic positions where germline variants have been called</t>
  </si>
  <si>
    <t>Ratio of called SNVs to called INDELs</t>
  </si>
  <si>
    <t>Ratio of called insertions to called deletions</t>
  </si>
  <si>
    <t>Number of MNP or other variants after decomposition</t>
  </si>
  <si>
    <t>Ratio of called transitions to called transversions</t>
  </si>
  <si>
    <t>Ratio of called heterozygous variants to called homozygous variants</t>
  </si>
  <si>
    <t>Peak in mean sequence quality across raw r1 reads (Phred score)</t>
  </si>
  <si>
    <t>Peak in mean sequence quality across raw r2 reads (Phred score)</t>
  </si>
  <si>
    <t>Lower quartile of IQR for base quality at each position in raw reads (Phred score)</t>
  </si>
  <si>
    <t>ms_raw_read_length_r1</t>
  </si>
  <si>
    <t>ms_raw_read_length_r2</t>
  </si>
  <si>
    <t>Peak of raw read length distribution (bp)</t>
  </si>
  <si>
    <t>ex_lane_raw_read_length_r1</t>
  </si>
  <si>
    <t>ex_lane_raw_per_sequence_quality_r1</t>
  </si>
  <si>
    <t>ex_lane_raw_per_sequence_quality_r2</t>
  </si>
  <si>
    <t>ex_lane_raw_per_base_quality_r1</t>
  </si>
  <si>
    <t>ex_lane_raw_per_quality_r2</t>
  </si>
  <si>
    <t>ex_lane_raw_per_tile_quality_r1</t>
  </si>
  <si>
    <t>ex_lane_raw_per_tile_quality_r2</t>
  </si>
  <si>
    <t>ms_raw_per_base_quality_r1</t>
  </si>
  <si>
    <t>ms_raw_per_base_quality_r2</t>
  </si>
  <si>
    <t>ms_raw_per_tile_quality_r1</t>
  </si>
  <si>
    <t>ms_raw_per_tile_quality_r2</t>
  </si>
  <si>
    <t>ms_raw_per_sequence_quality_r1</t>
  </si>
  <si>
    <t>ms_raw_per_sequence_quality_r2</t>
  </si>
  <si>
    <t>ex_lane_raw_read_length_r2</t>
  </si>
  <si>
    <t>ex_lane_raw_total_reads_r1</t>
  </si>
  <si>
    <t>ex_lane_raw_total_reads_r2</t>
  </si>
  <si>
    <t>ex_filtered_overrepresented_sequences_r1</t>
  </si>
  <si>
    <t>ex_filtered_overrepresented_sequences_r2</t>
  </si>
  <si>
    <t>ex_filtered_gc_deviation_r1</t>
  </si>
  <si>
    <t>ex_filtered_gc_deviation_r2</t>
  </si>
  <si>
    <t>ex_filtered_per_base_content_diff_r1</t>
  </si>
  <si>
    <t>ex_filtered_per_base_content_diff_r2</t>
  </si>
  <si>
    <t>ex_filtered_per_base_N_content_r1</t>
  </si>
  <si>
    <t>ex_filtered_per_base_N_content_r2</t>
  </si>
  <si>
    <t>Total raw reads obtained from standard Illumina sequencing by AGRF (x million reads, 3B lane)</t>
  </si>
  <si>
    <t>Total raw reads obtained from standard Illumina sequencing by AGRF (x million reads, 4 samples in 1B lane)</t>
  </si>
  <si>
    <t>Percentage of total filtered sequences made up by any one identical sequence</t>
  </si>
  <si>
    <t>Percentage of filtered reads deviating from a normal distribution for mean GC content</t>
  </si>
  <si>
    <t>Percentage difference in the proportion of A/T or C/G at each position in filtered reads</t>
  </si>
  <si>
    <t>Percentage of bases recorded as N at any one position in filtered reads</t>
  </si>
  <si>
    <t>Percentage of filtered sequences made up by any one identical sequence</t>
  </si>
  <si>
    <t>Percentage of reads successfully mapped to the reference genome, post alignment</t>
  </si>
  <si>
    <t>ex_lane_demux_read_gini</t>
  </si>
  <si>
    <t>Gini coefficient of demultiplexed sample read count</t>
  </si>
  <si>
    <t>Percentage of reads that are lost during length filtering</t>
  </si>
  <si>
    <t>Median insert size (start of R1 to end of R2) as determined by initial alignment (bp)</t>
  </si>
  <si>
    <t>ex_duplication_rate_initial_alignment</t>
  </si>
  <si>
    <t>ms_insert_size_alignment</t>
  </si>
  <si>
    <t>ms_duplication_rate_alignment</t>
  </si>
  <si>
    <t>ms_mapped_alignment</t>
  </si>
  <si>
    <t>Percentage of reads lost to MAPQ filter</t>
  </si>
  <si>
    <t>ex_reads_filtered_MAPQ</t>
  </si>
  <si>
    <t>ex_mapped_dsc_realignment</t>
  </si>
  <si>
    <t>ex_mean_duplex_depth</t>
  </si>
  <si>
    <t>Mean duplex depth of final DSC passed to variant calling</t>
  </si>
  <si>
    <t>Overlap between 1. MS depth &gt;= half depth theshold 2. Ex duplex depth &gt; 0</t>
  </si>
  <si>
    <t>Percentage of reads that are unique</t>
  </si>
  <si>
    <t>Percentage of raw reads filtered by length threshold</t>
  </si>
  <si>
    <t>fastqc metrics script required</t>
  </si>
  <si>
    <t>r"Pairs that were too short:.*\(([\d.]+)%\)"</t>
  </si>
  <si>
    <t>r"^\d+ \+ \d+ mapped \(([\d.]+)%\s*:"</t>
  </si>
  <si>
    <t>r"^S\d+_lib\s+\S+\s+\S+\s+\S+\s+\S+\s+\S+\s+\S+\s+([\d.]+)"</t>
  </si>
  <si>
    <t>Fraction of mapped reads that are marked as duplicates</t>
  </si>
  <si>
    <t>Candidate variant metrics script required</t>
  </si>
  <si>
    <t>r"^S\d+_combined_mask\.bed\t\d+\t([\d.]+)%"</t>
  </si>
  <si>
    <t>r"Pairs written \(passing filters\):\s+[\d,]+ \(([\d\.]+)%\)"</t>
  </si>
  <si>
    <t>Metrics file required</t>
  </si>
  <si>
    <t>r"^\d+ \+ \d+ properly paired \(([\d\.]+)%"</t>
  </si>
  <si>
    <t>r"^MEDIAN_INSERT_SIZE.*\n(\d+)"</t>
  </si>
  <si>
    <t>Percentage of reads lost from creation of DSC (beyond expected halving)</t>
  </si>
  <si>
    <t>ex_reads_lost_call_dsc</t>
  </si>
  <si>
    <t>Call dsc metrics script required</t>
  </si>
  <si>
    <t>Demux gini metrics script required</t>
  </si>
  <si>
    <t>r"Percentage mapped:\s+([\d.]+)%"</t>
  </si>
  <si>
    <t>r"Reads lost to MAPQ filter:\s+([\d.]+)%"</t>
  </si>
  <si>
    <t>r"^S\d+\t\d+\t\d+\t([0-9.]+)$"</t>
  </si>
  <si>
    <t>r"^ex_mean_analyzable_duplex_depth\s+([0-9.]+)"</t>
  </si>
  <si>
    <t>r"^ex_dsc_coverage_wholegenome\s+([0-9.]+)%"</t>
  </si>
  <si>
    <t>dsc_coverage_metrics.txt (review script)</t>
  </si>
  <si>
    <t>r'"90th_percentile"\s*:\s*(\d+)'</t>
  </si>
  <si>
    <t>Filter metrics script required (fastp does not output % reads filtered)</t>
  </si>
  <si>
    <t>file_pattern</t>
  </si>
  <si>
    <t>value_pattern</t>
  </si>
  <si>
    <t>_filter_metrics.txt</t>
  </si>
  <si>
    <t>_alignment_stats.txt</t>
  </si>
  <si>
    <t>_markdup_metrics.txt</t>
  </si>
  <si>
    <t>_insert_size_metrics.txt</t>
  </si>
  <si>
    <t>_mask_metrics.txt</t>
  </si>
  <si>
    <t>_demux_metrics.txt</t>
  </si>
  <si>
    <t>_map_metrics.txt</t>
  </si>
  <si>
    <t>_insert_metrics.txt</t>
  </si>
  <si>
    <t>_duplication_metrics.txt</t>
  </si>
  <si>
    <t>_dsc_remap_metrics.txt</t>
  </si>
  <si>
    <t>_softclipping_metrics.json</t>
  </si>
  <si>
    <t>_total_read_loss.json</t>
  </si>
  <si>
    <t>percent_reads_lost</t>
  </si>
  <si>
    <t>^([0-9]+)\t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</si>
</sst>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EB9C"/>
      <color rgb="FFFFF4C5"/>
      <color rgb="FFFFFF99"/>
      <color rgb="FFFFF8D9"/>
      <color rgb="FFFFFA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2EE11-078F-475B-B93E-E7A708AD4D14}">
  <dimension ref="A1:K84"/>
  <sheetViews>
    <sheetView tabSelected="1" topLeftCell="B58" zoomScale="85" zoomScaleNormal="85" workbookViewId="0">
      <selection activeCell="C98" sqref="C98"/>
    </sheetView>
  </sheetViews>
  <sheetFormatPr defaultRowHeight="14.4" x14ac:dyDescent="0.55000000000000004"/>
  <cols>
    <col min="1" max="1" width="35.15625" customWidth="1"/>
    <col min="2" max="2" width="82.15625" customWidth="1"/>
    <col min="3" max="4" width="35.26171875" customWidth="1"/>
    <col min="5" max="5" width="9" customWidth="1"/>
    <col min="8" max="8" width="9" customWidth="1"/>
    <col min="9" max="9" width="12.83984375" customWidth="1"/>
    <col min="10" max="10" width="61.83984375" bestFit="1" customWidth="1"/>
    <col min="11" max="11" width="54" customWidth="1"/>
  </cols>
  <sheetData>
    <row r="1" spans="1:11" x14ac:dyDescent="0.55000000000000004">
      <c r="A1" t="s">
        <v>41</v>
      </c>
      <c r="B1" t="s">
        <v>37</v>
      </c>
      <c r="C1" t="s">
        <v>38</v>
      </c>
      <c r="D1" t="s">
        <v>39</v>
      </c>
      <c r="E1" t="s">
        <v>0</v>
      </c>
      <c r="F1" t="s">
        <v>1</v>
      </c>
      <c r="G1" t="s">
        <v>2</v>
      </c>
      <c r="H1" t="s">
        <v>3</v>
      </c>
      <c r="I1" t="s">
        <v>40</v>
      </c>
      <c r="J1" t="s">
        <v>188</v>
      </c>
      <c r="K1" t="s">
        <v>189</v>
      </c>
    </row>
    <row r="2" spans="1:11" x14ac:dyDescent="0.55000000000000004">
      <c r="A2" t="s">
        <v>45</v>
      </c>
      <c r="B2" t="s">
        <v>42</v>
      </c>
      <c r="C2" t="s">
        <v>65</v>
      </c>
      <c r="D2" t="s">
        <v>34</v>
      </c>
      <c r="E2">
        <v>2500</v>
      </c>
      <c r="F2" t="s">
        <v>5</v>
      </c>
      <c r="I2" t="b">
        <v>0</v>
      </c>
      <c r="J2" t="s">
        <v>79</v>
      </c>
      <c r="K2" t="s">
        <v>79</v>
      </c>
    </row>
    <row r="3" spans="1:11" x14ac:dyDescent="0.55000000000000004">
      <c r="A3" t="s">
        <v>46</v>
      </c>
      <c r="B3" t="s">
        <v>43</v>
      </c>
      <c r="C3" t="s">
        <v>65</v>
      </c>
      <c r="D3" t="s">
        <v>35</v>
      </c>
      <c r="E3">
        <v>0</v>
      </c>
      <c r="F3">
        <v>0.3</v>
      </c>
      <c r="G3">
        <v>0</v>
      </c>
      <c r="H3">
        <v>0.2</v>
      </c>
      <c r="I3" t="b">
        <v>0</v>
      </c>
      <c r="J3" t="s">
        <v>79</v>
      </c>
      <c r="K3" t="s">
        <v>79</v>
      </c>
    </row>
    <row r="4" spans="1:11" x14ac:dyDescent="0.55000000000000004">
      <c r="A4" t="s">
        <v>47</v>
      </c>
      <c r="B4" t="s">
        <v>25</v>
      </c>
      <c r="C4" t="s">
        <v>65</v>
      </c>
      <c r="D4" t="s">
        <v>34</v>
      </c>
      <c r="E4">
        <v>10000</v>
      </c>
      <c r="F4">
        <v>50000</v>
      </c>
      <c r="I4" t="b">
        <v>0</v>
      </c>
      <c r="J4" t="s">
        <v>79</v>
      </c>
      <c r="K4" t="s">
        <v>79</v>
      </c>
    </row>
    <row r="5" spans="1:11" x14ac:dyDescent="0.55000000000000004">
      <c r="A5" t="s">
        <v>59</v>
      </c>
      <c r="B5" t="s">
        <v>51</v>
      </c>
      <c r="C5" t="s">
        <v>67</v>
      </c>
      <c r="D5" t="s">
        <v>34</v>
      </c>
      <c r="E5">
        <v>90</v>
      </c>
      <c r="F5">
        <v>1000</v>
      </c>
      <c r="I5" t="b">
        <v>0</v>
      </c>
      <c r="J5" t="s">
        <v>79</v>
      </c>
      <c r="K5" t="s">
        <v>79</v>
      </c>
    </row>
    <row r="6" spans="1:11" x14ac:dyDescent="0.55000000000000004">
      <c r="A6" t="s">
        <v>58</v>
      </c>
      <c r="B6" t="s">
        <v>52</v>
      </c>
      <c r="C6" t="s">
        <v>67</v>
      </c>
      <c r="D6" t="s">
        <v>35</v>
      </c>
      <c r="E6">
        <v>0</v>
      </c>
      <c r="F6">
        <v>0.3</v>
      </c>
      <c r="G6">
        <v>0</v>
      </c>
      <c r="H6">
        <v>0.2</v>
      </c>
      <c r="I6" t="b">
        <v>0</v>
      </c>
      <c r="J6" t="s">
        <v>79</v>
      </c>
      <c r="K6" t="s">
        <v>79</v>
      </c>
    </row>
    <row r="7" spans="1:11" x14ac:dyDescent="0.55000000000000004">
      <c r="A7" t="s">
        <v>60</v>
      </c>
      <c r="B7" t="s">
        <v>62</v>
      </c>
      <c r="C7" t="s">
        <v>67</v>
      </c>
      <c r="D7" t="s">
        <v>34</v>
      </c>
      <c r="E7">
        <v>45</v>
      </c>
      <c r="F7">
        <v>1000</v>
      </c>
      <c r="I7" t="b">
        <v>0</v>
      </c>
      <c r="J7" t="s">
        <v>79</v>
      </c>
      <c r="K7" t="s">
        <v>79</v>
      </c>
    </row>
    <row r="8" spans="1:11" x14ac:dyDescent="0.55000000000000004">
      <c r="A8" t="s">
        <v>61</v>
      </c>
      <c r="B8" t="s">
        <v>63</v>
      </c>
      <c r="C8" t="s">
        <v>67</v>
      </c>
      <c r="D8" t="s">
        <v>35</v>
      </c>
      <c r="E8">
        <v>0</v>
      </c>
      <c r="F8">
        <v>0.3</v>
      </c>
      <c r="G8">
        <v>0</v>
      </c>
      <c r="H8">
        <v>0.2</v>
      </c>
      <c r="I8" t="b">
        <v>0</v>
      </c>
      <c r="J8" t="s">
        <v>79</v>
      </c>
      <c r="K8" t="s">
        <v>79</v>
      </c>
    </row>
    <row r="9" spans="1:11" x14ac:dyDescent="0.55000000000000004">
      <c r="A9" t="s">
        <v>31</v>
      </c>
      <c r="B9" t="s">
        <v>90</v>
      </c>
      <c r="C9" t="s">
        <v>67</v>
      </c>
      <c r="D9" t="s">
        <v>34</v>
      </c>
      <c r="E9">
        <v>280</v>
      </c>
      <c r="F9">
        <v>320</v>
      </c>
      <c r="G9">
        <v>290</v>
      </c>
      <c r="H9">
        <v>310</v>
      </c>
      <c r="I9" t="b">
        <v>0</v>
      </c>
      <c r="J9" t="s">
        <v>79</v>
      </c>
      <c r="K9" t="s">
        <v>79</v>
      </c>
    </row>
    <row r="10" spans="1:11" x14ac:dyDescent="0.55000000000000004">
      <c r="A10" t="s">
        <v>32</v>
      </c>
      <c r="B10" t="s">
        <v>91</v>
      </c>
      <c r="C10" t="s">
        <v>67</v>
      </c>
      <c r="D10" t="s">
        <v>34</v>
      </c>
      <c r="E10">
        <v>95</v>
      </c>
      <c r="F10">
        <v>100</v>
      </c>
      <c r="G10">
        <v>100</v>
      </c>
      <c r="H10">
        <v>100</v>
      </c>
      <c r="I10" t="b">
        <v>0</v>
      </c>
      <c r="J10" t="s">
        <v>79</v>
      </c>
      <c r="K10" t="s">
        <v>79</v>
      </c>
    </row>
    <row r="11" spans="1:11" x14ac:dyDescent="0.55000000000000004">
      <c r="A11" t="s">
        <v>11</v>
      </c>
      <c r="B11" t="s">
        <v>142</v>
      </c>
      <c r="C11" t="s">
        <v>71</v>
      </c>
      <c r="D11" t="s">
        <v>34</v>
      </c>
      <c r="E11">
        <v>200</v>
      </c>
      <c r="F11" t="s">
        <v>5</v>
      </c>
      <c r="G11">
        <v>300</v>
      </c>
      <c r="H11" t="s">
        <v>5</v>
      </c>
      <c r="I11" t="b">
        <v>0</v>
      </c>
      <c r="J11" t="s">
        <v>165</v>
      </c>
    </row>
    <row r="12" spans="1:11" x14ac:dyDescent="0.55000000000000004">
      <c r="A12" t="s">
        <v>12</v>
      </c>
      <c r="B12" t="s">
        <v>142</v>
      </c>
      <c r="C12" t="s">
        <v>71</v>
      </c>
      <c r="D12" t="s">
        <v>34</v>
      </c>
      <c r="E12">
        <v>200</v>
      </c>
      <c r="F12" t="s">
        <v>5</v>
      </c>
      <c r="G12">
        <v>300</v>
      </c>
      <c r="H12" t="s">
        <v>5</v>
      </c>
      <c r="I12" t="b">
        <v>0</v>
      </c>
      <c r="J12" t="s">
        <v>165</v>
      </c>
    </row>
    <row r="13" spans="1:11" x14ac:dyDescent="0.55000000000000004">
      <c r="A13" t="s">
        <v>128</v>
      </c>
      <c r="B13" t="s">
        <v>111</v>
      </c>
      <c r="C13" t="s">
        <v>68</v>
      </c>
      <c r="D13" t="s">
        <v>34</v>
      </c>
      <c r="E13">
        <v>35</v>
      </c>
      <c r="F13">
        <v>40</v>
      </c>
      <c r="G13">
        <v>39</v>
      </c>
      <c r="H13">
        <v>40</v>
      </c>
      <c r="I13" t="b">
        <v>0</v>
      </c>
      <c r="J13" t="s">
        <v>165</v>
      </c>
    </row>
    <row r="14" spans="1:11" x14ac:dyDescent="0.55000000000000004">
      <c r="A14" t="s">
        <v>129</v>
      </c>
      <c r="B14" t="s">
        <v>112</v>
      </c>
      <c r="C14" t="s">
        <v>68</v>
      </c>
      <c r="D14" t="s">
        <v>34</v>
      </c>
      <c r="E14">
        <v>35</v>
      </c>
      <c r="F14">
        <v>40</v>
      </c>
      <c r="G14">
        <v>39</v>
      </c>
      <c r="H14">
        <v>40</v>
      </c>
      <c r="I14" t="b">
        <v>0</v>
      </c>
      <c r="J14" t="s">
        <v>165</v>
      </c>
    </row>
    <row r="15" spans="1:11" x14ac:dyDescent="0.55000000000000004">
      <c r="A15" t="s">
        <v>124</v>
      </c>
      <c r="B15" t="s">
        <v>113</v>
      </c>
      <c r="C15" t="s">
        <v>71</v>
      </c>
      <c r="D15" t="s">
        <v>34</v>
      </c>
      <c r="E15">
        <v>30</v>
      </c>
      <c r="F15">
        <v>40</v>
      </c>
      <c r="G15">
        <v>35</v>
      </c>
      <c r="H15">
        <v>40</v>
      </c>
      <c r="I15" t="b">
        <v>0</v>
      </c>
      <c r="J15" t="s">
        <v>165</v>
      </c>
    </row>
    <row r="16" spans="1:11" x14ac:dyDescent="0.55000000000000004">
      <c r="A16" t="s">
        <v>125</v>
      </c>
      <c r="B16" t="s">
        <v>113</v>
      </c>
      <c r="C16" t="s">
        <v>71</v>
      </c>
      <c r="D16" t="s">
        <v>34</v>
      </c>
      <c r="E16">
        <v>30</v>
      </c>
      <c r="F16">
        <v>40</v>
      </c>
      <c r="G16">
        <v>35</v>
      </c>
      <c r="H16">
        <v>40</v>
      </c>
      <c r="I16" t="b">
        <v>0</v>
      </c>
      <c r="J16" t="s">
        <v>165</v>
      </c>
    </row>
    <row r="17" spans="1:11" x14ac:dyDescent="0.55000000000000004">
      <c r="A17" t="s">
        <v>126</v>
      </c>
      <c r="B17" t="s">
        <v>100</v>
      </c>
      <c r="C17" t="s">
        <v>71</v>
      </c>
      <c r="D17" t="s">
        <v>34</v>
      </c>
      <c r="E17">
        <v>0</v>
      </c>
      <c r="F17">
        <v>10</v>
      </c>
      <c r="G17">
        <v>0</v>
      </c>
      <c r="H17">
        <v>5</v>
      </c>
      <c r="I17" t="b">
        <v>0</v>
      </c>
      <c r="J17" t="s">
        <v>165</v>
      </c>
    </row>
    <row r="18" spans="1:11" x14ac:dyDescent="0.55000000000000004">
      <c r="A18" t="s">
        <v>127</v>
      </c>
      <c r="B18" t="s">
        <v>100</v>
      </c>
      <c r="C18" t="s">
        <v>71</v>
      </c>
      <c r="D18" t="s">
        <v>34</v>
      </c>
      <c r="E18">
        <v>0</v>
      </c>
      <c r="F18">
        <v>10</v>
      </c>
      <c r="G18">
        <v>0</v>
      </c>
      <c r="H18">
        <v>5</v>
      </c>
      <c r="I18" t="b">
        <v>0</v>
      </c>
      <c r="J18" t="s">
        <v>165</v>
      </c>
    </row>
    <row r="19" spans="1:11" x14ac:dyDescent="0.55000000000000004">
      <c r="A19" t="s">
        <v>114</v>
      </c>
      <c r="B19" t="s">
        <v>116</v>
      </c>
      <c r="C19" t="s">
        <v>68</v>
      </c>
      <c r="D19" t="s">
        <v>34</v>
      </c>
      <c r="E19">
        <v>150</v>
      </c>
      <c r="F19">
        <v>150</v>
      </c>
      <c r="G19">
        <v>150</v>
      </c>
      <c r="H19">
        <v>150</v>
      </c>
      <c r="I19" t="b">
        <v>0</v>
      </c>
      <c r="J19" t="s">
        <v>165</v>
      </c>
    </row>
    <row r="20" spans="1:11" x14ac:dyDescent="0.55000000000000004">
      <c r="A20" t="s">
        <v>115</v>
      </c>
      <c r="B20" t="s">
        <v>116</v>
      </c>
      <c r="C20" t="s">
        <v>68</v>
      </c>
      <c r="D20" t="s">
        <v>34</v>
      </c>
      <c r="E20">
        <v>150</v>
      </c>
      <c r="F20">
        <v>150</v>
      </c>
      <c r="G20">
        <v>150</v>
      </c>
      <c r="H20">
        <v>150</v>
      </c>
      <c r="I20" t="b">
        <v>0</v>
      </c>
      <c r="J20" t="s">
        <v>165</v>
      </c>
    </row>
    <row r="21" spans="1:11" x14ac:dyDescent="0.55000000000000004">
      <c r="A21" t="s">
        <v>92</v>
      </c>
      <c r="B21" t="s">
        <v>147</v>
      </c>
      <c r="C21" t="s">
        <v>68</v>
      </c>
      <c r="D21" t="s">
        <v>34</v>
      </c>
      <c r="E21">
        <v>0</v>
      </c>
      <c r="F21">
        <v>1</v>
      </c>
      <c r="G21">
        <v>0</v>
      </c>
      <c r="H21">
        <v>0.1</v>
      </c>
      <c r="I21" t="b">
        <v>0</v>
      </c>
      <c r="J21" t="s">
        <v>165</v>
      </c>
    </row>
    <row r="22" spans="1:11" x14ac:dyDescent="0.55000000000000004">
      <c r="A22" t="s">
        <v>93</v>
      </c>
      <c r="B22" t="s">
        <v>147</v>
      </c>
      <c r="C22" t="s">
        <v>68</v>
      </c>
      <c r="D22" t="s">
        <v>34</v>
      </c>
      <c r="E22">
        <v>0</v>
      </c>
      <c r="F22">
        <v>1</v>
      </c>
      <c r="G22">
        <v>0</v>
      </c>
      <c r="H22">
        <v>0.1</v>
      </c>
      <c r="I22" t="b">
        <v>0</v>
      </c>
      <c r="J22" t="s">
        <v>165</v>
      </c>
    </row>
    <row r="23" spans="1:11" x14ac:dyDescent="0.55000000000000004">
      <c r="A23" t="s">
        <v>94</v>
      </c>
      <c r="B23" t="s">
        <v>144</v>
      </c>
      <c r="C23" t="s">
        <v>68</v>
      </c>
      <c r="D23" t="s">
        <v>34</v>
      </c>
      <c r="E23">
        <v>0</v>
      </c>
      <c r="F23">
        <v>30</v>
      </c>
      <c r="G23">
        <v>0</v>
      </c>
      <c r="H23">
        <v>20</v>
      </c>
      <c r="I23" t="b">
        <v>0</v>
      </c>
      <c r="J23" t="s">
        <v>165</v>
      </c>
    </row>
    <row r="24" spans="1:11" x14ac:dyDescent="0.55000000000000004">
      <c r="A24" t="s">
        <v>95</v>
      </c>
      <c r="B24" t="s">
        <v>144</v>
      </c>
      <c r="C24" t="s">
        <v>68</v>
      </c>
      <c r="D24" t="s">
        <v>34</v>
      </c>
      <c r="E24">
        <v>0</v>
      </c>
      <c r="F24">
        <v>30</v>
      </c>
      <c r="G24">
        <v>0</v>
      </c>
      <c r="H24">
        <v>20</v>
      </c>
      <c r="I24" t="b">
        <v>0</v>
      </c>
      <c r="J24" t="s">
        <v>165</v>
      </c>
    </row>
    <row r="25" spans="1:11" x14ac:dyDescent="0.55000000000000004">
      <c r="A25" t="s">
        <v>96</v>
      </c>
      <c r="B25" t="s">
        <v>145</v>
      </c>
      <c r="C25" t="s">
        <v>68</v>
      </c>
      <c r="D25" t="s">
        <v>34</v>
      </c>
      <c r="E25">
        <v>0</v>
      </c>
      <c r="F25">
        <v>20</v>
      </c>
      <c r="G25">
        <v>0</v>
      </c>
      <c r="H25">
        <v>10</v>
      </c>
      <c r="I25" t="b">
        <v>0</v>
      </c>
      <c r="J25" t="s">
        <v>165</v>
      </c>
    </row>
    <row r="26" spans="1:11" x14ac:dyDescent="0.55000000000000004">
      <c r="A26" t="s">
        <v>97</v>
      </c>
      <c r="B26" t="s">
        <v>145</v>
      </c>
      <c r="C26" t="s">
        <v>68</v>
      </c>
      <c r="D26" t="s">
        <v>34</v>
      </c>
      <c r="E26">
        <v>0</v>
      </c>
      <c r="F26">
        <v>20</v>
      </c>
      <c r="G26">
        <v>0</v>
      </c>
      <c r="H26">
        <v>10</v>
      </c>
      <c r="I26" t="b">
        <v>0</v>
      </c>
      <c r="J26" t="s">
        <v>165</v>
      </c>
    </row>
    <row r="27" spans="1:11" x14ac:dyDescent="0.55000000000000004">
      <c r="A27" t="s">
        <v>98</v>
      </c>
      <c r="B27" t="s">
        <v>146</v>
      </c>
      <c r="C27" t="s">
        <v>68</v>
      </c>
      <c r="D27" t="s">
        <v>34</v>
      </c>
      <c r="E27">
        <v>0</v>
      </c>
      <c r="F27">
        <v>10</v>
      </c>
      <c r="G27">
        <v>0</v>
      </c>
      <c r="H27">
        <v>5</v>
      </c>
      <c r="I27" t="b">
        <v>0</v>
      </c>
      <c r="J27" t="s">
        <v>165</v>
      </c>
    </row>
    <row r="28" spans="1:11" x14ac:dyDescent="0.55000000000000004">
      <c r="A28" t="s">
        <v>99</v>
      </c>
      <c r="B28" t="s">
        <v>146</v>
      </c>
      <c r="C28" t="s">
        <v>68</v>
      </c>
      <c r="D28" t="s">
        <v>34</v>
      </c>
      <c r="E28">
        <v>0</v>
      </c>
      <c r="F28">
        <v>10</v>
      </c>
      <c r="G28">
        <v>0</v>
      </c>
      <c r="H28">
        <v>5</v>
      </c>
      <c r="I28" t="b">
        <v>0</v>
      </c>
      <c r="J28" t="s">
        <v>165</v>
      </c>
    </row>
    <row r="29" spans="1:11" x14ac:dyDescent="0.55000000000000004">
      <c r="A29" t="s">
        <v>101</v>
      </c>
      <c r="B29" t="s">
        <v>164</v>
      </c>
      <c r="C29" t="s">
        <v>73</v>
      </c>
      <c r="D29" t="s">
        <v>34</v>
      </c>
      <c r="E29">
        <v>0</v>
      </c>
      <c r="F29">
        <v>20</v>
      </c>
      <c r="G29">
        <v>0</v>
      </c>
      <c r="H29">
        <v>10</v>
      </c>
      <c r="I29" t="b">
        <v>0</v>
      </c>
      <c r="J29" t="s">
        <v>190</v>
      </c>
      <c r="K29" t="s">
        <v>166</v>
      </c>
    </row>
    <row r="30" spans="1:11" x14ac:dyDescent="0.55000000000000004">
      <c r="A30" t="s">
        <v>156</v>
      </c>
      <c r="B30" t="s">
        <v>148</v>
      </c>
      <c r="C30" t="s">
        <v>74</v>
      </c>
      <c r="D30" t="s">
        <v>34</v>
      </c>
      <c r="E30">
        <v>90</v>
      </c>
      <c r="F30">
        <v>100</v>
      </c>
      <c r="G30">
        <v>95</v>
      </c>
      <c r="H30">
        <v>100</v>
      </c>
      <c r="I30" t="b">
        <v>0</v>
      </c>
      <c r="J30" t="s">
        <v>191</v>
      </c>
      <c r="K30" t="s">
        <v>167</v>
      </c>
    </row>
    <row r="31" spans="1:11" x14ac:dyDescent="0.55000000000000004">
      <c r="A31" t="s">
        <v>155</v>
      </c>
      <c r="B31" t="s">
        <v>169</v>
      </c>
      <c r="C31" t="s">
        <v>74</v>
      </c>
      <c r="D31" t="s">
        <v>34</v>
      </c>
      <c r="E31">
        <v>0</v>
      </c>
      <c r="F31">
        <v>0.1</v>
      </c>
      <c r="G31">
        <v>0</v>
      </c>
      <c r="H31">
        <v>0.03</v>
      </c>
      <c r="I31" t="b">
        <v>0</v>
      </c>
      <c r="J31" t="s">
        <v>192</v>
      </c>
      <c r="K31" t="s">
        <v>168</v>
      </c>
    </row>
    <row r="32" spans="1:11" x14ac:dyDescent="0.55000000000000004">
      <c r="A32" t="s">
        <v>154</v>
      </c>
      <c r="B32" t="s">
        <v>104</v>
      </c>
      <c r="C32" t="s">
        <v>74</v>
      </c>
      <c r="D32" t="s">
        <v>34</v>
      </c>
      <c r="E32">
        <v>125</v>
      </c>
      <c r="F32">
        <v>175</v>
      </c>
      <c r="G32">
        <v>140</v>
      </c>
      <c r="H32">
        <v>160</v>
      </c>
      <c r="I32" t="b">
        <v>0</v>
      </c>
      <c r="J32" t="s">
        <v>193</v>
      </c>
      <c r="K32" t="s">
        <v>175</v>
      </c>
    </row>
    <row r="33" spans="1:11" x14ac:dyDescent="0.55000000000000004">
      <c r="A33" t="s">
        <v>33</v>
      </c>
      <c r="B33" t="s">
        <v>105</v>
      </c>
      <c r="C33" t="s">
        <v>76</v>
      </c>
      <c r="D33" t="s">
        <v>34</v>
      </c>
      <c r="E33">
        <v>1.2999999999999999E-3</v>
      </c>
      <c r="F33">
        <v>1.9E-3</v>
      </c>
      <c r="G33">
        <v>1.4E-3</v>
      </c>
      <c r="H33">
        <v>1.8E-3</v>
      </c>
      <c r="I33" t="b">
        <v>0</v>
      </c>
      <c r="J33" t="s">
        <v>170</v>
      </c>
    </row>
    <row r="34" spans="1:11" x14ac:dyDescent="0.55000000000000004">
      <c r="A34" t="s">
        <v>6</v>
      </c>
      <c r="B34" t="s">
        <v>106</v>
      </c>
      <c r="C34" t="s">
        <v>76</v>
      </c>
      <c r="D34" t="s">
        <v>34</v>
      </c>
      <c r="E34">
        <v>4</v>
      </c>
      <c r="F34">
        <v>10</v>
      </c>
      <c r="G34">
        <v>4.3</v>
      </c>
      <c r="H34">
        <v>8.5</v>
      </c>
      <c r="I34" t="b">
        <v>0</v>
      </c>
      <c r="J34" t="s">
        <v>170</v>
      </c>
    </row>
    <row r="35" spans="1:11" x14ac:dyDescent="0.55000000000000004">
      <c r="A35" t="s">
        <v>7</v>
      </c>
      <c r="B35" t="s">
        <v>107</v>
      </c>
      <c r="C35" t="s">
        <v>76</v>
      </c>
      <c r="D35" t="s">
        <v>34</v>
      </c>
      <c r="E35">
        <v>0.5</v>
      </c>
      <c r="F35">
        <v>1</v>
      </c>
      <c r="G35">
        <v>0.6</v>
      </c>
      <c r="H35">
        <v>0.94</v>
      </c>
      <c r="I35" t="b">
        <v>0</v>
      </c>
      <c r="J35" t="s">
        <v>170</v>
      </c>
    </row>
    <row r="36" spans="1:11" x14ac:dyDescent="0.55000000000000004">
      <c r="A36" t="s">
        <v>8</v>
      </c>
      <c r="B36" t="s">
        <v>108</v>
      </c>
      <c r="C36" t="s">
        <v>76</v>
      </c>
      <c r="D36" t="s">
        <v>34</v>
      </c>
      <c r="E36">
        <v>0</v>
      </c>
      <c r="F36">
        <v>0</v>
      </c>
      <c r="G36">
        <v>0</v>
      </c>
      <c r="H36">
        <v>0</v>
      </c>
      <c r="I36" t="b">
        <v>0</v>
      </c>
      <c r="J36" t="s">
        <v>170</v>
      </c>
    </row>
    <row r="37" spans="1:11" x14ac:dyDescent="0.55000000000000004">
      <c r="A37" t="s">
        <v>9</v>
      </c>
      <c r="B37" t="s">
        <v>109</v>
      </c>
      <c r="C37" t="s">
        <v>76</v>
      </c>
      <c r="D37" t="s">
        <v>34</v>
      </c>
      <c r="E37">
        <v>1.9</v>
      </c>
      <c r="F37">
        <v>2.2000000000000002</v>
      </c>
      <c r="G37">
        <v>2.0499999999999998</v>
      </c>
      <c r="H37">
        <v>2.15</v>
      </c>
      <c r="I37" t="b">
        <v>0</v>
      </c>
      <c r="J37" t="s">
        <v>170</v>
      </c>
    </row>
    <row r="38" spans="1:11" x14ac:dyDescent="0.55000000000000004">
      <c r="A38" t="s">
        <v>10</v>
      </c>
      <c r="B38" t="s">
        <v>110</v>
      </c>
      <c r="C38" t="s">
        <v>76</v>
      </c>
      <c r="D38" t="s">
        <v>34</v>
      </c>
      <c r="E38">
        <v>1.2</v>
      </c>
      <c r="F38">
        <v>2.1</v>
      </c>
      <c r="G38">
        <v>1.3</v>
      </c>
      <c r="H38">
        <v>2</v>
      </c>
      <c r="I38" t="b">
        <v>0</v>
      </c>
      <c r="J38" t="s">
        <v>170</v>
      </c>
    </row>
    <row r="39" spans="1:11" x14ac:dyDescent="0.55000000000000004">
      <c r="A39" t="s">
        <v>80</v>
      </c>
      <c r="B39" t="s">
        <v>4</v>
      </c>
      <c r="C39" t="s">
        <v>77</v>
      </c>
      <c r="D39" t="s">
        <v>34</v>
      </c>
      <c r="E39">
        <v>70</v>
      </c>
      <c r="F39">
        <v>90</v>
      </c>
      <c r="G39">
        <v>70</v>
      </c>
      <c r="H39">
        <v>80</v>
      </c>
      <c r="I39" t="b">
        <v>0</v>
      </c>
      <c r="J39" t="s">
        <v>194</v>
      </c>
      <c r="K39" t="s">
        <v>171</v>
      </c>
    </row>
    <row r="40" spans="1:11" x14ac:dyDescent="0.55000000000000004">
      <c r="A40" t="s">
        <v>28</v>
      </c>
      <c r="B40" t="s">
        <v>51</v>
      </c>
      <c r="C40" t="s">
        <v>66</v>
      </c>
      <c r="D40" t="s">
        <v>34</v>
      </c>
      <c r="E40">
        <v>75</v>
      </c>
      <c r="F40">
        <v>1000</v>
      </c>
      <c r="I40" t="b">
        <v>0</v>
      </c>
      <c r="J40" t="s">
        <v>79</v>
      </c>
      <c r="K40" t="s">
        <v>79</v>
      </c>
    </row>
    <row r="41" spans="1:11" x14ac:dyDescent="0.55000000000000004">
      <c r="A41" t="s">
        <v>36</v>
      </c>
      <c r="B41" t="s">
        <v>52</v>
      </c>
      <c r="C41" t="s">
        <v>66</v>
      </c>
      <c r="D41" t="s">
        <v>35</v>
      </c>
      <c r="E41">
        <v>0</v>
      </c>
      <c r="F41">
        <v>0.3</v>
      </c>
      <c r="G41">
        <v>0</v>
      </c>
      <c r="H41">
        <v>0.2</v>
      </c>
      <c r="I41" t="b">
        <v>0</v>
      </c>
      <c r="J41" t="s">
        <v>79</v>
      </c>
      <c r="K41" t="s">
        <v>79</v>
      </c>
    </row>
    <row r="42" spans="1:11" x14ac:dyDescent="0.55000000000000004">
      <c r="A42" t="s">
        <v>44</v>
      </c>
      <c r="B42" t="s">
        <v>55</v>
      </c>
      <c r="C42" t="s">
        <v>66</v>
      </c>
      <c r="D42" t="s">
        <v>34</v>
      </c>
      <c r="E42">
        <v>50</v>
      </c>
      <c r="F42">
        <v>300</v>
      </c>
      <c r="G42">
        <v>100</v>
      </c>
      <c r="H42">
        <v>200</v>
      </c>
      <c r="I42" t="b">
        <v>0</v>
      </c>
      <c r="J42" t="s">
        <v>79</v>
      </c>
      <c r="K42" t="s">
        <v>79</v>
      </c>
    </row>
    <row r="43" spans="1:11" x14ac:dyDescent="0.55000000000000004">
      <c r="A43" t="s">
        <v>53</v>
      </c>
      <c r="B43" t="s">
        <v>54</v>
      </c>
      <c r="C43" t="s">
        <v>66</v>
      </c>
      <c r="D43" t="s">
        <v>34</v>
      </c>
      <c r="E43">
        <v>4.3</v>
      </c>
      <c r="F43" t="s">
        <v>5</v>
      </c>
      <c r="I43" t="b">
        <v>0</v>
      </c>
      <c r="J43" t="s">
        <v>79</v>
      </c>
      <c r="K43" t="s">
        <v>79</v>
      </c>
    </row>
    <row r="44" spans="1:11" x14ac:dyDescent="0.55000000000000004">
      <c r="A44" t="s">
        <v>48</v>
      </c>
      <c r="B44" t="s">
        <v>52</v>
      </c>
      <c r="C44" t="s">
        <v>66</v>
      </c>
      <c r="D44" t="s">
        <v>35</v>
      </c>
      <c r="E44">
        <v>0</v>
      </c>
      <c r="F44">
        <v>0.3</v>
      </c>
      <c r="G44">
        <v>0</v>
      </c>
      <c r="H44">
        <v>0.2</v>
      </c>
      <c r="I44" t="b">
        <v>0</v>
      </c>
      <c r="J44" t="s">
        <v>79</v>
      </c>
      <c r="K44" t="s">
        <v>79</v>
      </c>
    </row>
    <row r="45" spans="1:11" x14ac:dyDescent="0.55000000000000004">
      <c r="A45" t="s">
        <v>49</v>
      </c>
      <c r="B45" t="s">
        <v>56</v>
      </c>
      <c r="C45" t="s">
        <v>66</v>
      </c>
      <c r="D45" t="s">
        <v>34</v>
      </c>
      <c r="E45">
        <v>390</v>
      </c>
      <c r="F45">
        <v>890</v>
      </c>
      <c r="G45">
        <v>490</v>
      </c>
      <c r="H45">
        <v>690</v>
      </c>
      <c r="I45" t="b">
        <v>0</v>
      </c>
      <c r="J45" t="s">
        <v>79</v>
      </c>
      <c r="K45" t="s">
        <v>79</v>
      </c>
    </row>
    <row r="46" spans="1:11" x14ac:dyDescent="0.55000000000000004">
      <c r="A46" t="s">
        <v>50</v>
      </c>
      <c r="B46" t="s">
        <v>57</v>
      </c>
      <c r="C46" t="s">
        <v>66</v>
      </c>
      <c r="D46" t="s">
        <v>34</v>
      </c>
      <c r="E46">
        <v>290</v>
      </c>
      <c r="F46">
        <v>580</v>
      </c>
      <c r="I46" t="b">
        <v>0</v>
      </c>
      <c r="J46" t="s">
        <v>79</v>
      </c>
      <c r="K46" t="s">
        <v>79</v>
      </c>
    </row>
    <row r="47" spans="1:11" x14ac:dyDescent="0.55000000000000004">
      <c r="A47" t="s">
        <v>29</v>
      </c>
      <c r="B47" t="s">
        <v>26</v>
      </c>
      <c r="C47" t="s">
        <v>66</v>
      </c>
      <c r="D47" t="s">
        <v>34</v>
      </c>
      <c r="E47">
        <v>544</v>
      </c>
      <c r="F47">
        <v>624</v>
      </c>
      <c r="G47">
        <v>564</v>
      </c>
      <c r="H47">
        <v>604</v>
      </c>
      <c r="I47" t="b">
        <v>0</v>
      </c>
      <c r="J47" t="s">
        <v>79</v>
      </c>
      <c r="K47" t="s">
        <v>79</v>
      </c>
    </row>
    <row r="48" spans="1:11" x14ac:dyDescent="0.55000000000000004">
      <c r="A48" t="s">
        <v>30</v>
      </c>
      <c r="B48" t="s">
        <v>27</v>
      </c>
      <c r="C48" t="s">
        <v>66</v>
      </c>
      <c r="D48" t="s">
        <v>34</v>
      </c>
      <c r="E48">
        <v>98</v>
      </c>
      <c r="F48">
        <v>100</v>
      </c>
      <c r="G48">
        <v>100</v>
      </c>
      <c r="H48">
        <v>100</v>
      </c>
      <c r="I48" t="b">
        <v>0</v>
      </c>
      <c r="J48" t="s">
        <v>79</v>
      </c>
      <c r="K48" t="s">
        <v>79</v>
      </c>
    </row>
    <row r="49" spans="1:10" x14ac:dyDescent="0.55000000000000004">
      <c r="A49" t="s">
        <v>118</v>
      </c>
      <c r="B49" t="s">
        <v>111</v>
      </c>
      <c r="C49" t="s">
        <v>70</v>
      </c>
      <c r="D49" t="s">
        <v>85</v>
      </c>
      <c r="E49">
        <v>35</v>
      </c>
      <c r="F49">
        <v>40</v>
      </c>
      <c r="G49">
        <v>39</v>
      </c>
      <c r="H49">
        <v>40</v>
      </c>
      <c r="I49" t="b">
        <v>0</v>
      </c>
      <c r="J49" t="s">
        <v>165</v>
      </c>
    </row>
    <row r="50" spans="1:10" x14ac:dyDescent="0.55000000000000004">
      <c r="A50" t="s">
        <v>119</v>
      </c>
      <c r="B50" t="s">
        <v>112</v>
      </c>
      <c r="C50" t="s">
        <v>70</v>
      </c>
      <c r="D50" t="s">
        <v>85</v>
      </c>
      <c r="E50">
        <v>35</v>
      </c>
      <c r="F50">
        <v>40</v>
      </c>
      <c r="G50">
        <v>39</v>
      </c>
      <c r="H50">
        <v>40</v>
      </c>
      <c r="I50" t="b">
        <v>0</v>
      </c>
      <c r="J50" t="s">
        <v>165</v>
      </c>
    </row>
    <row r="51" spans="1:10" x14ac:dyDescent="0.55000000000000004">
      <c r="A51" t="s">
        <v>120</v>
      </c>
      <c r="B51" t="s">
        <v>113</v>
      </c>
      <c r="C51" t="s">
        <v>70</v>
      </c>
      <c r="D51" t="s">
        <v>85</v>
      </c>
      <c r="E51">
        <v>30</v>
      </c>
      <c r="F51">
        <v>40</v>
      </c>
      <c r="G51">
        <v>35</v>
      </c>
      <c r="H51">
        <v>40</v>
      </c>
      <c r="I51" t="b">
        <v>0</v>
      </c>
      <c r="J51" t="s">
        <v>165</v>
      </c>
    </row>
    <row r="52" spans="1:10" x14ac:dyDescent="0.55000000000000004">
      <c r="A52" t="s">
        <v>121</v>
      </c>
      <c r="B52" t="s">
        <v>113</v>
      </c>
      <c r="C52" t="s">
        <v>70</v>
      </c>
      <c r="D52" t="s">
        <v>85</v>
      </c>
      <c r="E52">
        <v>30</v>
      </c>
      <c r="F52">
        <v>40</v>
      </c>
      <c r="G52">
        <v>35</v>
      </c>
      <c r="H52">
        <v>40</v>
      </c>
      <c r="I52" t="b">
        <v>0</v>
      </c>
      <c r="J52" t="s">
        <v>165</v>
      </c>
    </row>
    <row r="53" spans="1:10" x14ac:dyDescent="0.55000000000000004">
      <c r="A53" t="s">
        <v>122</v>
      </c>
      <c r="B53" t="s">
        <v>15</v>
      </c>
      <c r="C53" t="s">
        <v>70</v>
      </c>
      <c r="D53" t="s">
        <v>85</v>
      </c>
      <c r="E53">
        <v>0</v>
      </c>
      <c r="F53">
        <v>10</v>
      </c>
      <c r="G53">
        <v>0</v>
      </c>
      <c r="H53">
        <v>5</v>
      </c>
      <c r="I53" t="b">
        <v>0</v>
      </c>
      <c r="J53" t="s">
        <v>165</v>
      </c>
    </row>
    <row r="54" spans="1:10" x14ac:dyDescent="0.55000000000000004">
      <c r="A54" t="s">
        <v>123</v>
      </c>
      <c r="B54" t="s">
        <v>15</v>
      </c>
      <c r="C54" t="s">
        <v>70</v>
      </c>
      <c r="D54" t="s">
        <v>85</v>
      </c>
      <c r="E54">
        <v>0</v>
      </c>
      <c r="F54">
        <v>10</v>
      </c>
      <c r="G54">
        <v>0</v>
      </c>
      <c r="H54">
        <v>5</v>
      </c>
      <c r="I54" t="b">
        <v>0</v>
      </c>
      <c r="J54" t="s">
        <v>165</v>
      </c>
    </row>
    <row r="55" spans="1:10" x14ac:dyDescent="0.55000000000000004">
      <c r="A55" t="s">
        <v>117</v>
      </c>
      <c r="B55" t="s">
        <v>116</v>
      </c>
      <c r="C55" t="s">
        <v>70</v>
      </c>
      <c r="D55" t="s">
        <v>85</v>
      </c>
      <c r="E55">
        <v>150</v>
      </c>
      <c r="F55">
        <v>150</v>
      </c>
      <c r="G55">
        <v>150</v>
      </c>
      <c r="H55">
        <v>150</v>
      </c>
      <c r="I55" t="b">
        <v>0</v>
      </c>
      <c r="J55" t="s">
        <v>165</v>
      </c>
    </row>
    <row r="56" spans="1:10" x14ac:dyDescent="0.55000000000000004">
      <c r="A56" t="s">
        <v>130</v>
      </c>
      <c r="B56" t="s">
        <v>116</v>
      </c>
      <c r="C56" t="s">
        <v>70</v>
      </c>
      <c r="D56" t="s">
        <v>85</v>
      </c>
      <c r="E56">
        <v>150</v>
      </c>
      <c r="F56">
        <v>150</v>
      </c>
      <c r="G56">
        <v>150</v>
      </c>
      <c r="H56">
        <v>150</v>
      </c>
      <c r="I56" t="b">
        <v>0</v>
      </c>
      <c r="J56" t="s">
        <v>165</v>
      </c>
    </row>
    <row r="57" spans="1:10" x14ac:dyDescent="0.55000000000000004">
      <c r="A57" t="s">
        <v>131</v>
      </c>
      <c r="B57" t="s">
        <v>141</v>
      </c>
      <c r="C57" t="s">
        <v>70</v>
      </c>
      <c r="D57" t="s">
        <v>85</v>
      </c>
      <c r="E57">
        <v>2850</v>
      </c>
      <c r="F57" t="s">
        <v>5</v>
      </c>
      <c r="G57">
        <v>3000</v>
      </c>
      <c r="H57" t="s">
        <v>5</v>
      </c>
      <c r="I57" t="b">
        <v>0</v>
      </c>
      <c r="J57" t="s">
        <v>165</v>
      </c>
    </row>
    <row r="58" spans="1:10" x14ac:dyDescent="0.55000000000000004">
      <c r="A58" t="s">
        <v>132</v>
      </c>
      <c r="B58" t="s">
        <v>141</v>
      </c>
      <c r="C58" t="s">
        <v>70</v>
      </c>
      <c r="D58" t="s">
        <v>85</v>
      </c>
      <c r="E58">
        <v>2850</v>
      </c>
      <c r="F58" t="s">
        <v>5</v>
      </c>
      <c r="G58">
        <v>3000</v>
      </c>
      <c r="H58" t="s">
        <v>5</v>
      </c>
      <c r="I58" t="b">
        <v>0</v>
      </c>
      <c r="J58" t="s">
        <v>165</v>
      </c>
    </row>
    <row r="59" spans="1:10" x14ac:dyDescent="0.55000000000000004">
      <c r="A59" t="s">
        <v>133</v>
      </c>
      <c r="B59" t="s">
        <v>143</v>
      </c>
      <c r="C59" t="s">
        <v>70</v>
      </c>
      <c r="D59" t="s">
        <v>34</v>
      </c>
      <c r="E59">
        <v>0</v>
      </c>
      <c r="F59">
        <v>1</v>
      </c>
      <c r="G59">
        <v>0</v>
      </c>
      <c r="H59">
        <v>0.1</v>
      </c>
      <c r="I59" t="b">
        <v>0</v>
      </c>
      <c r="J59" t="s">
        <v>165</v>
      </c>
    </row>
    <row r="60" spans="1:10" x14ac:dyDescent="0.55000000000000004">
      <c r="A60" t="s">
        <v>134</v>
      </c>
      <c r="B60" t="s">
        <v>143</v>
      </c>
      <c r="C60" t="s">
        <v>70</v>
      </c>
      <c r="D60" t="s">
        <v>34</v>
      </c>
      <c r="E60">
        <v>0</v>
      </c>
      <c r="F60">
        <v>1</v>
      </c>
      <c r="G60">
        <v>0</v>
      </c>
      <c r="H60">
        <v>0.1</v>
      </c>
      <c r="I60" t="b">
        <v>0</v>
      </c>
      <c r="J60" t="s">
        <v>165</v>
      </c>
    </row>
    <row r="61" spans="1:10" x14ac:dyDescent="0.55000000000000004">
      <c r="A61" t="s">
        <v>135</v>
      </c>
      <c r="B61" t="s">
        <v>144</v>
      </c>
      <c r="C61" t="s">
        <v>70</v>
      </c>
      <c r="D61" t="s">
        <v>34</v>
      </c>
      <c r="E61">
        <v>0</v>
      </c>
      <c r="F61">
        <v>30</v>
      </c>
      <c r="G61">
        <v>0</v>
      </c>
      <c r="H61">
        <v>20</v>
      </c>
      <c r="I61" t="b">
        <v>0</v>
      </c>
      <c r="J61" t="s">
        <v>165</v>
      </c>
    </row>
    <row r="62" spans="1:10" x14ac:dyDescent="0.55000000000000004">
      <c r="A62" t="s">
        <v>136</v>
      </c>
      <c r="B62" t="s">
        <v>144</v>
      </c>
      <c r="C62" t="s">
        <v>70</v>
      </c>
      <c r="D62" t="s">
        <v>34</v>
      </c>
      <c r="E62">
        <v>0</v>
      </c>
      <c r="F62">
        <v>30</v>
      </c>
      <c r="G62">
        <v>0</v>
      </c>
      <c r="H62">
        <v>20</v>
      </c>
      <c r="I62" t="b">
        <v>0</v>
      </c>
      <c r="J62" t="s">
        <v>165</v>
      </c>
    </row>
    <row r="63" spans="1:10" x14ac:dyDescent="0.55000000000000004">
      <c r="A63" t="s">
        <v>137</v>
      </c>
      <c r="B63" t="s">
        <v>145</v>
      </c>
      <c r="C63" t="s">
        <v>70</v>
      </c>
      <c r="D63" t="s">
        <v>34</v>
      </c>
      <c r="E63">
        <v>0</v>
      </c>
      <c r="F63">
        <v>20</v>
      </c>
      <c r="G63">
        <v>0</v>
      </c>
      <c r="H63">
        <v>10</v>
      </c>
      <c r="I63" t="b">
        <v>0</v>
      </c>
      <c r="J63" t="s">
        <v>165</v>
      </c>
    </row>
    <row r="64" spans="1:10" x14ac:dyDescent="0.55000000000000004">
      <c r="A64" t="s">
        <v>138</v>
      </c>
      <c r="B64" t="s">
        <v>145</v>
      </c>
      <c r="C64" t="s">
        <v>70</v>
      </c>
      <c r="D64" t="s">
        <v>34</v>
      </c>
      <c r="E64">
        <v>0</v>
      </c>
      <c r="F64">
        <v>20</v>
      </c>
      <c r="G64">
        <v>0</v>
      </c>
      <c r="H64">
        <v>10</v>
      </c>
      <c r="I64" t="b">
        <v>0</v>
      </c>
      <c r="J64" t="s">
        <v>165</v>
      </c>
    </row>
    <row r="65" spans="1:11" x14ac:dyDescent="0.55000000000000004">
      <c r="A65" t="s">
        <v>139</v>
      </c>
      <c r="B65" t="s">
        <v>146</v>
      </c>
      <c r="C65" t="s">
        <v>70</v>
      </c>
      <c r="D65" t="s">
        <v>34</v>
      </c>
      <c r="E65">
        <v>0</v>
      </c>
      <c r="F65">
        <v>10</v>
      </c>
      <c r="G65">
        <v>0</v>
      </c>
      <c r="H65">
        <v>5</v>
      </c>
      <c r="I65" t="b">
        <v>0</v>
      </c>
      <c r="J65" t="s">
        <v>165</v>
      </c>
    </row>
    <row r="66" spans="1:11" x14ac:dyDescent="0.55000000000000004">
      <c r="A66" t="s">
        <v>140</v>
      </c>
      <c r="B66" t="s">
        <v>146</v>
      </c>
      <c r="C66" t="s">
        <v>70</v>
      </c>
      <c r="D66" t="s">
        <v>34</v>
      </c>
      <c r="E66">
        <v>0</v>
      </c>
      <c r="F66">
        <v>10</v>
      </c>
      <c r="G66">
        <v>0</v>
      </c>
      <c r="H66">
        <v>5</v>
      </c>
      <c r="I66" t="b">
        <v>0</v>
      </c>
      <c r="J66" t="s">
        <v>165</v>
      </c>
    </row>
    <row r="67" spans="1:11" x14ac:dyDescent="0.55000000000000004">
      <c r="A67" t="s">
        <v>82</v>
      </c>
      <c r="B67" t="s">
        <v>89</v>
      </c>
      <c r="C67" t="s">
        <v>72</v>
      </c>
      <c r="D67" t="s">
        <v>85</v>
      </c>
      <c r="E67">
        <v>75</v>
      </c>
      <c r="F67">
        <v>100</v>
      </c>
      <c r="G67">
        <v>90</v>
      </c>
      <c r="H67">
        <v>100</v>
      </c>
      <c r="I67" t="b">
        <v>0</v>
      </c>
      <c r="J67" t="s">
        <v>195</v>
      </c>
      <c r="K67" t="s">
        <v>172</v>
      </c>
    </row>
    <row r="68" spans="1:11" x14ac:dyDescent="0.55000000000000004">
      <c r="A68" t="s">
        <v>149</v>
      </c>
      <c r="B68" t="s">
        <v>150</v>
      </c>
      <c r="C68" t="s">
        <v>72</v>
      </c>
      <c r="D68" t="s">
        <v>85</v>
      </c>
      <c r="E68">
        <v>0</v>
      </c>
      <c r="F68">
        <v>0.1</v>
      </c>
      <c r="G68">
        <v>0</v>
      </c>
      <c r="H68">
        <v>0.05</v>
      </c>
      <c r="I68" t="b">
        <v>0</v>
      </c>
      <c r="J68" t="s">
        <v>179</v>
      </c>
    </row>
    <row r="69" spans="1:11" x14ac:dyDescent="0.55000000000000004">
      <c r="A69" t="s">
        <v>83</v>
      </c>
      <c r="B69" t="s">
        <v>151</v>
      </c>
      <c r="C69" t="s">
        <v>72</v>
      </c>
      <c r="D69" t="s">
        <v>34</v>
      </c>
      <c r="E69">
        <v>0</v>
      </c>
      <c r="F69">
        <v>20</v>
      </c>
      <c r="G69">
        <v>0</v>
      </c>
      <c r="H69">
        <v>10</v>
      </c>
      <c r="I69" t="b">
        <v>0</v>
      </c>
      <c r="J69" t="s">
        <v>187</v>
      </c>
    </row>
    <row r="70" spans="1:11" x14ac:dyDescent="0.55000000000000004">
      <c r="A70" t="s">
        <v>84</v>
      </c>
      <c r="B70" t="s">
        <v>81</v>
      </c>
      <c r="C70" t="s">
        <v>72</v>
      </c>
      <c r="D70" t="s">
        <v>34</v>
      </c>
      <c r="E70">
        <v>0</v>
      </c>
      <c r="F70">
        <v>15</v>
      </c>
      <c r="G70">
        <v>0</v>
      </c>
      <c r="H70">
        <v>7.5</v>
      </c>
      <c r="I70" t="b">
        <v>0</v>
      </c>
      <c r="J70" t="s">
        <v>187</v>
      </c>
    </row>
    <row r="71" spans="1:11" x14ac:dyDescent="0.55000000000000004">
      <c r="A71" t="s">
        <v>87</v>
      </c>
      <c r="B71" t="s">
        <v>102</v>
      </c>
      <c r="C71" t="s">
        <v>69</v>
      </c>
      <c r="D71" t="s">
        <v>34</v>
      </c>
      <c r="E71">
        <v>90</v>
      </c>
      <c r="F71">
        <v>100</v>
      </c>
      <c r="G71">
        <v>95</v>
      </c>
      <c r="H71">
        <v>100</v>
      </c>
      <c r="I71" t="b">
        <v>0</v>
      </c>
      <c r="J71" t="s">
        <v>196</v>
      </c>
      <c r="K71" t="s">
        <v>167</v>
      </c>
    </row>
    <row r="72" spans="1:11" x14ac:dyDescent="0.55000000000000004">
      <c r="A72" t="s">
        <v>86</v>
      </c>
      <c r="B72" t="s">
        <v>103</v>
      </c>
      <c r="C72" t="s">
        <v>69</v>
      </c>
      <c r="D72" t="s">
        <v>34</v>
      </c>
      <c r="E72">
        <v>50</v>
      </c>
      <c r="F72">
        <v>100</v>
      </c>
      <c r="G72">
        <v>75</v>
      </c>
      <c r="H72">
        <v>100</v>
      </c>
      <c r="I72" t="b">
        <v>0</v>
      </c>
      <c r="J72" t="s">
        <v>196</v>
      </c>
      <c r="K72" t="s">
        <v>174</v>
      </c>
    </row>
    <row r="73" spans="1:11" x14ac:dyDescent="0.55000000000000004">
      <c r="A73" t="s">
        <v>88</v>
      </c>
      <c r="B73" t="s">
        <v>152</v>
      </c>
      <c r="C73" t="s">
        <v>69</v>
      </c>
      <c r="D73" t="s">
        <v>34</v>
      </c>
      <c r="E73">
        <v>50</v>
      </c>
      <c r="F73">
        <v>300</v>
      </c>
      <c r="G73">
        <v>100</v>
      </c>
      <c r="H73">
        <v>200</v>
      </c>
      <c r="I73" t="b">
        <v>1</v>
      </c>
      <c r="J73" t="s">
        <v>197</v>
      </c>
      <c r="K73" t="s">
        <v>203</v>
      </c>
    </row>
    <row r="74" spans="1:11" x14ac:dyDescent="0.55000000000000004">
      <c r="A74" t="s">
        <v>177</v>
      </c>
      <c r="B74" t="s">
        <v>176</v>
      </c>
      <c r="C74" t="s">
        <v>75</v>
      </c>
      <c r="D74" t="s">
        <v>34</v>
      </c>
      <c r="E74">
        <v>0</v>
      </c>
      <c r="F74">
        <v>10</v>
      </c>
      <c r="G74">
        <v>0</v>
      </c>
      <c r="H74">
        <v>5</v>
      </c>
      <c r="I74" t="b">
        <v>0</v>
      </c>
      <c r="J74" t="s">
        <v>178</v>
      </c>
    </row>
    <row r="75" spans="1:11" x14ac:dyDescent="0.55000000000000004">
      <c r="A75" t="s">
        <v>153</v>
      </c>
      <c r="B75" t="s">
        <v>163</v>
      </c>
      <c r="C75" t="s">
        <v>75</v>
      </c>
      <c r="D75" t="s">
        <v>34</v>
      </c>
      <c r="E75">
        <v>60</v>
      </c>
      <c r="F75">
        <v>100</v>
      </c>
      <c r="G75">
        <v>90</v>
      </c>
      <c r="H75">
        <v>100</v>
      </c>
      <c r="I75" t="b">
        <v>0</v>
      </c>
      <c r="J75" t="s">
        <v>198</v>
      </c>
      <c r="K75" t="s">
        <v>182</v>
      </c>
    </row>
    <row r="76" spans="1:11" x14ac:dyDescent="0.55000000000000004">
      <c r="A76" t="s">
        <v>159</v>
      </c>
      <c r="B76" t="s">
        <v>16</v>
      </c>
      <c r="C76" t="s">
        <v>75</v>
      </c>
      <c r="D76" t="s">
        <v>34</v>
      </c>
      <c r="E76">
        <v>99</v>
      </c>
      <c r="F76">
        <v>100</v>
      </c>
      <c r="G76">
        <v>99.5</v>
      </c>
      <c r="H76">
        <v>100</v>
      </c>
      <c r="I76" t="b">
        <v>0</v>
      </c>
      <c r="J76" t="s">
        <v>199</v>
      </c>
      <c r="K76" t="s">
        <v>180</v>
      </c>
    </row>
    <row r="77" spans="1:11" x14ac:dyDescent="0.55000000000000004">
      <c r="A77" t="s">
        <v>158</v>
      </c>
      <c r="B77" t="s">
        <v>157</v>
      </c>
      <c r="C77" t="s">
        <v>75</v>
      </c>
      <c r="D77" t="s">
        <v>34</v>
      </c>
      <c r="E77">
        <v>0</v>
      </c>
      <c r="F77">
        <v>15</v>
      </c>
      <c r="G77">
        <v>0</v>
      </c>
      <c r="H77">
        <v>5</v>
      </c>
      <c r="I77" t="b">
        <v>0</v>
      </c>
      <c r="J77" t="s">
        <v>199</v>
      </c>
      <c r="K77" t="s">
        <v>181</v>
      </c>
    </row>
    <row r="78" spans="1:11" x14ac:dyDescent="0.55000000000000004">
      <c r="A78" t="s">
        <v>160</v>
      </c>
      <c r="B78" t="s">
        <v>161</v>
      </c>
      <c r="C78" t="s">
        <v>75</v>
      </c>
      <c r="D78" t="s">
        <v>34</v>
      </c>
      <c r="E78">
        <v>0.5</v>
      </c>
      <c r="F78" t="s">
        <v>5</v>
      </c>
      <c r="G78">
        <v>1</v>
      </c>
      <c r="H78" t="s">
        <v>5</v>
      </c>
      <c r="I78" t="b">
        <v>0</v>
      </c>
      <c r="J78" t="s">
        <v>185</v>
      </c>
      <c r="K78" t="s">
        <v>183</v>
      </c>
    </row>
    <row r="79" spans="1:11" x14ac:dyDescent="0.55000000000000004">
      <c r="A79" t="s">
        <v>21</v>
      </c>
      <c r="B79" t="s">
        <v>22</v>
      </c>
      <c r="C79" t="s">
        <v>75</v>
      </c>
      <c r="D79" t="s">
        <v>34</v>
      </c>
      <c r="E79">
        <v>0</v>
      </c>
      <c r="F79">
        <v>0</v>
      </c>
      <c r="G79">
        <v>0</v>
      </c>
      <c r="H79">
        <v>0</v>
      </c>
      <c r="I79" t="b">
        <v>0</v>
      </c>
      <c r="J79" t="s">
        <v>200</v>
      </c>
      <c r="K79" t="s">
        <v>186</v>
      </c>
    </row>
    <row r="80" spans="1:11" x14ac:dyDescent="0.55000000000000004">
      <c r="A80" t="s">
        <v>19</v>
      </c>
      <c r="B80" t="s">
        <v>20</v>
      </c>
      <c r="C80" t="s">
        <v>75</v>
      </c>
      <c r="D80" t="s">
        <v>34</v>
      </c>
      <c r="E80">
        <v>14.5</v>
      </c>
      <c r="F80">
        <v>100</v>
      </c>
      <c r="G80">
        <v>26.1</v>
      </c>
      <c r="H80">
        <v>100</v>
      </c>
      <c r="I80" t="b">
        <v>0</v>
      </c>
      <c r="J80" t="s">
        <v>185</v>
      </c>
    </row>
    <row r="81" spans="1:11" x14ac:dyDescent="0.55000000000000004">
      <c r="A81" t="s">
        <v>13</v>
      </c>
      <c r="B81" t="s">
        <v>14</v>
      </c>
      <c r="C81" t="s">
        <v>75</v>
      </c>
      <c r="D81" t="s">
        <v>34</v>
      </c>
      <c r="E81">
        <v>5.0000000000000001E-4</v>
      </c>
      <c r="F81">
        <v>8.0000000000000004E-4</v>
      </c>
      <c r="G81">
        <v>2.0000000000000001E-4</v>
      </c>
      <c r="H81">
        <v>5.0000000000000001E-4</v>
      </c>
      <c r="I81" t="b">
        <v>0</v>
      </c>
      <c r="J81" t="s">
        <v>173</v>
      </c>
    </row>
    <row r="82" spans="1:11" x14ac:dyDescent="0.55000000000000004">
      <c r="A82" t="s">
        <v>18</v>
      </c>
      <c r="B82" t="s">
        <v>17</v>
      </c>
      <c r="C82" t="s">
        <v>78</v>
      </c>
      <c r="D82" t="s">
        <v>34</v>
      </c>
      <c r="E82">
        <v>5</v>
      </c>
      <c r="F82">
        <v>100</v>
      </c>
      <c r="G82">
        <v>20</v>
      </c>
      <c r="H82">
        <v>100</v>
      </c>
      <c r="I82" t="b">
        <v>0</v>
      </c>
      <c r="J82" t="s">
        <v>185</v>
      </c>
      <c r="K82" t="s">
        <v>184</v>
      </c>
    </row>
    <row r="83" spans="1:11" x14ac:dyDescent="0.55000000000000004">
      <c r="A83" t="s">
        <v>24</v>
      </c>
      <c r="B83" t="s">
        <v>23</v>
      </c>
      <c r="C83" t="s">
        <v>79</v>
      </c>
      <c r="D83" t="s">
        <v>85</v>
      </c>
      <c r="E83">
        <v>0</v>
      </c>
      <c r="F83">
        <v>95</v>
      </c>
      <c r="G83">
        <v>0</v>
      </c>
      <c r="H83">
        <v>80</v>
      </c>
      <c r="I83" t="b">
        <v>1</v>
      </c>
      <c r="J83" t="s">
        <v>201</v>
      </c>
      <c r="K83" t="s">
        <v>202</v>
      </c>
    </row>
    <row r="84" spans="1:11" x14ac:dyDescent="0.55000000000000004">
      <c r="A84" t="s">
        <v>64</v>
      </c>
      <c r="B84" t="s">
        <v>162</v>
      </c>
      <c r="C84" t="s">
        <v>79</v>
      </c>
      <c r="D84" t="s">
        <v>34</v>
      </c>
      <c r="E84">
        <v>90</v>
      </c>
      <c r="F84">
        <v>100</v>
      </c>
      <c r="G84">
        <v>95</v>
      </c>
      <c r="H84">
        <v>100</v>
      </c>
      <c r="I84" t="b">
        <v>0</v>
      </c>
      <c r="J84" t="s">
        <v>185</v>
      </c>
    </row>
  </sheetData>
  <autoFilter ref="A1:K85" xr:uid="{1962EE11-078F-475B-B93E-E7A708AD4D14}"/>
  <conditionalFormatting sqref="I1:I1048576">
    <cfRule type="cellIs" dxfId="0" priority="1" operator="equal">
      <formula>TRUE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Metrics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Johnstone</dc:creator>
  <cp:lastModifiedBy>Cameron Fraser</cp:lastModifiedBy>
  <dcterms:created xsi:type="dcterms:W3CDTF">2025-07-08T06:48:12Z</dcterms:created>
  <dcterms:modified xsi:type="dcterms:W3CDTF">2025-08-07T05:49:50Z</dcterms:modified>
</cp:coreProperties>
</file>